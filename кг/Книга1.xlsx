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torage\pnrpu-3rd-year\кг\"/>
    </mc:Choice>
  </mc:AlternateContent>
  <bookViews>
    <workbookView xWindow="0" yWindow="0" windowWidth="21570" windowHeight="799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C3" i="1"/>
  <c r="AC1" i="1"/>
  <c r="X1" i="1"/>
  <c r="U1" i="1"/>
  <c r="Y1" i="1"/>
  <c r="M1" i="1"/>
  <c r="X2" i="1"/>
  <c r="AB2" i="1" s="1"/>
  <c r="V1" i="1"/>
  <c r="U2" i="1"/>
  <c r="Y2" i="1" s="1"/>
  <c r="V2" i="1"/>
  <c r="Z2" i="1" s="1"/>
  <c r="W2" i="1"/>
  <c r="AA2" i="1" s="1"/>
  <c r="U3" i="1"/>
  <c r="Y3" i="1" s="1"/>
  <c r="V3" i="1"/>
  <c r="W3" i="1"/>
  <c r="X3" i="1"/>
  <c r="AB3" i="1" s="1"/>
  <c r="U4" i="1"/>
  <c r="Y4" i="1" s="1"/>
  <c r="V4" i="1"/>
  <c r="W4" i="1"/>
  <c r="X4" i="1"/>
  <c r="AB4" i="1" s="1"/>
  <c r="W1" i="1"/>
  <c r="AA1" i="1" s="1"/>
  <c r="I1" i="1"/>
  <c r="AA4" i="1" l="1"/>
  <c r="Z4" i="1"/>
  <c r="AA3" i="1"/>
  <c r="Z3" i="1"/>
  <c r="Z1" i="1"/>
  <c r="AB1" i="1"/>
  <c r="N11" i="1"/>
  <c r="M2" i="1"/>
  <c r="N2" i="1"/>
  <c r="O2" i="1"/>
  <c r="P2" i="1"/>
  <c r="M3" i="1"/>
  <c r="N3" i="1"/>
  <c r="O3" i="1"/>
  <c r="P3" i="1"/>
  <c r="M4" i="1"/>
  <c r="N4" i="1"/>
  <c r="O4" i="1"/>
  <c r="P4" i="1"/>
  <c r="M5" i="1"/>
  <c r="N5" i="1"/>
  <c r="O5" i="1"/>
  <c r="P5" i="1"/>
  <c r="M6" i="1"/>
  <c r="N6" i="1"/>
  <c r="O6" i="1"/>
  <c r="P6" i="1"/>
  <c r="M7" i="1"/>
  <c r="N7" i="1"/>
  <c r="O7" i="1"/>
  <c r="P7" i="1"/>
  <c r="M8" i="1"/>
  <c r="N8" i="1"/>
  <c r="O8" i="1"/>
  <c r="P8" i="1"/>
  <c r="M9" i="1"/>
  <c r="N9" i="1"/>
  <c r="O9" i="1"/>
  <c r="P9" i="1"/>
  <c r="M10" i="1"/>
  <c r="N10" i="1"/>
  <c r="O10" i="1"/>
  <c r="P10" i="1"/>
  <c r="M11" i="1"/>
  <c r="O11" i="1"/>
  <c r="P11" i="1"/>
  <c r="M12" i="1"/>
  <c r="N12" i="1"/>
  <c r="O12" i="1"/>
  <c r="P12" i="1"/>
  <c r="M13" i="1"/>
  <c r="N13" i="1"/>
  <c r="O13" i="1"/>
  <c r="P13" i="1"/>
  <c r="M14" i="1"/>
  <c r="N14" i="1"/>
  <c r="O14" i="1"/>
  <c r="P14" i="1"/>
  <c r="M15" i="1"/>
  <c r="N15" i="1"/>
  <c r="O15" i="1"/>
  <c r="P15" i="1"/>
  <c r="M16" i="1"/>
  <c r="N16" i="1"/>
  <c r="O16" i="1"/>
  <c r="P16" i="1"/>
  <c r="O1" i="1"/>
  <c r="P1" i="1"/>
  <c r="N1" i="1"/>
  <c r="I2" i="1"/>
  <c r="J2" i="1"/>
  <c r="K2" i="1"/>
  <c r="L2" i="1"/>
  <c r="I3" i="1"/>
  <c r="J3" i="1"/>
  <c r="K3" i="1"/>
  <c r="L3" i="1"/>
  <c r="I4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I12" i="1"/>
  <c r="J12" i="1"/>
  <c r="K12" i="1"/>
  <c r="L12" i="1"/>
  <c r="I13" i="1"/>
  <c r="J13" i="1"/>
  <c r="K13" i="1"/>
  <c r="L13" i="1"/>
  <c r="I14" i="1"/>
  <c r="J14" i="1"/>
  <c r="K14" i="1"/>
  <c r="L14" i="1"/>
  <c r="I15" i="1"/>
  <c r="J15" i="1"/>
  <c r="K15" i="1"/>
  <c r="L15" i="1"/>
  <c r="I16" i="1"/>
  <c r="J16" i="1"/>
  <c r="K16" i="1"/>
  <c r="L16" i="1"/>
  <c r="J1" i="1"/>
  <c r="K1" i="1"/>
  <c r="L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0" xfId="0" applyFill="1" applyBorder="1"/>
    <xf numFmtId="2" fontId="0" fillId="0" borderId="0" xfId="0" applyNumberFormat="1" applyFill="1" applyBorder="1"/>
    <xf numFmtId="169" fontId="0" fillId="0" borderId="0" xfId="0" applyNumberFormat="1" applyFill="1" applyBorder="1"/>
    <xf numFmtId="169" fontId="0" fillId="0" borderId="1" xfId="0" applyNumberFormat="1" applyFill="1" applyBorder="1"/>
    <xf numFmtId="169" fontId="0" fillId="0" borderId="2" xfId="0" applyNumberFormat="1" applyFill="1" applyBorder="1"/>
    <xf numFmtId="0" fontId="0" fillId="0" borderId="2" xfId="0" applyFill="1" applyBorder="1"/>
    <xf numFmtId="0" fontId="0" fillId="0" borderId="3" xfId="0" applyFill="1" applyBorder="1"/>
    <xf numFmtId="169" fontId="0" fillId="0" borderId="4" xfId="0" applyNumberFormat="1" applyFill="1" applyBorder="1"/>
    <xf numFmtId="0" fontId="0" fillId="0" borderId="5" xfId="0" applyFill="1" applyBorder="1"/>
    <xf numFmtId="169" fontId="0" fillId="0" borderId="4" xfId="0" applyNumberFormat="1" applyBorder="1"/>
    <xf numFmtId="169" fontId="0" fillId="0" borderId="0" xfId="0" applyNumberFormat="1" applyBorder="1"/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0" xfId="0" applyNumberFormat="1" applyBorder="1"/>
    <xf numFmtId="2" fontId="0" fillId="0" borderId="5" xfId="0" applyNumberFormat="1" applyBorder="1"/>
    <xf numFmtId="169" fontId="0" fillId="0" borderId="5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"/>
  <sheetViews>
    <sheetView tabSelected="1" topLeftCell="B1" workbookViewId="0">
      <selection activeCell="AC6" sqref="AC6"/>
    </sheetView>
  </sheetViews>
  <sheetFormatPr defaultRowHeight="15" x14ac:dyDescent="0.25"/>
  <cols>
    <col min="1" max="1" width="9.140625" style="4"/>
    <col min="2" max="3" width="9.140625" style="5"/>
    <col min="4" max="4" width="9.140625" style="6"/>
    <col min="5" max="5" width="9.140625" style="4"/>
    <col min="6" max="7" width="9.140625" style="5"/>
    <col min="8" max="8" width="9.140625" style="6"/>
    <col min="9" max="9" width="9.140625" style="4"/>
    <col min="10" max="11" width="9.140625" style="5"/>
    <col min="12" max="12" width="9.140625" style="6"/>
    <col min="13" max="13" width="9.5703125" style="16" bestFit="1" customWidth="1"/>
    <col min="14" max="14" width="10.28515625" style="17" bestFit="1" customWidth="1"/>
    <col min="15" max="15" width="9.140625" style="5"/>
    <col min="16" max="16" width="9.140625" style="6"/>
    <col min="17" max="17" width="9.140625" style="4"/>
    <col min="18" max="19" width="9.140625" style="5"/>
    <col min="20" max="20" width="9.140625" style="6"/>
    <col min="21" max="21" width="9.140625" style="4"/>
    <col min="22" max="23" width="9.140625" style="5"/>
    <col min="24" max="24" width="9.140625" style="6"/>
    <col min="25" max="25" width="9.5703125" style="16" bestFit="1" customWidth="1"/>
    <col min="26" max="26" width="9.5703125" style="17" bestFit="1" customWidth="1"/>
    <col min="27" max="27" width="9.28515625" style="17" bestFit="1" customWidth="1"/>
    <col min="28" max="28" width="9.28515625" style="24" bestFit="1" customWidth="1"/>
  </cols>
  <sheetData>
    <row r="1" spans="1:29" x14ac:dyDescent="0.25">
      <c r="A1" s="1">
        <v>0</v>
      </c>
      <c r="B1" s="2">
        <v>0</v>
      </c>
      <c r="C1" s="2">
        <v>4</v>
      </c>
      <c r="D1" s="3">
        <v>1</v>
      </c>
      <c r="E1" s="1">
        <v>0.86</v>
      </c>
      <c r="F1" s="2">
        <v>0.7</v>
      </c>
      <c r="G1" s="2">
        <v>0</v>
      </c>
      <c r="H1" s="3">
        <v>7.0000000000000007E-2</v>
      </c>
      <c r="I1" s="1">
        <f>$A1*E$1+$B1*E$2+$C1*E$3+$D1*E$4</f>
        <v>2</v>
      </c>
      <c r="J1" s="2">
        <f t="shared" ref="J1:L1" si="0">$A1*F$1+$B1*F$2+$C1*F$3+$D1*F$4</f>
        <v>-2.8</v>
      </c>
      <c r="K1" s="2">
        <f t="shared" si="0"/>
        <v>0</v>
      </c>
      <c r="L1" s="3">
        <f t="shared" si="0"/>
        <v>0.67999999999999994</v>
      </c>
      <c r="M1" s="10">
        <f>I1/$L1</f>
        <v>2.9411764705882355</v>
      </c>
      <c r="N1" s="11">
        <f t="shared" ref="N1" si="1">J1/$L1</f>
        <v>-4.1176470588235299</v>
      </c>
      <c r="O1" s="12">
        <f>K1/$L1</f>
        <v>0</v>
      </c>
      <c r="P1" s="13">
        <f>L1/$L1</f>
        <v>1</v>
      </c>
      <c r="Q1" s="1">
        <v>1</v>
      </c>
      <c r="R1" s="2">
        <v>0</v>
      </c>
      <c r="S1" s="2">
        <v>0</v>
      </c>
      <c r="T1" s="3">
        <v>1</v>
      </c>
      <c r="U1" s="1">
        <f>$Q1*E$1+$R1*E$2+$S1*E$3+$T1*E$4</f>
        <v>0.86</v>
      </c>
      <c r="V1" s="2">
        <f>$Q1*F$1+$R1*F$2+$S1*F$3+$T1*F$4</f>
        <v>0.7</v>
      </c>
      <c r="W1" s="2">
        <f t="shared" ref="V1:X1" si="2">$Q1*G$1+$R1*G$2+$S1*G$3+$T1*G$4</f>
        <v>0</v>
      </c>
      <c r="X1" s="3">
        <f>$Q1*H$1+$R1*H$2+$S1*H$3+$T1*H$4</f>
        <v>1.07</v>
      </c>
      <c r="Y1" s="18">
        <f>U1/$X1</f>
        <v>0.80373831775700932</v>
      </c>
      <c r="Z1" s="19">
        <f>V1/$X1</f>
        <v>0.65420560747663548</v>
      </c>
      <c r="AA1" s="19">
        <f t="shared" ref="Z1:AB1" si="3">W1/$X1</f>
        <v>0</v>
      </c>
      <c r="AB1" s="20">
        <f t="shared" si="3"/>
        <v>1</v>
      </c>
      <c r="AC1" s="8">
        <f>SQRT(POWER(Y1,2)+POWER(Z1,2))</f>
        <v>1.0363301888320831</v>
      </c>
    </row>
    <row r="2" spans="1:29" x14ac:dyDescent="0.25">
      <c r="A2" s="4">
        <v>4</v>
      </c>
      <c r="B2" s="5">
        <v>0</v>
      </c>
      <c r="C2" s="5">
        <v>4</v>
      </c>
      <c r="D2" s="6">
        <v>1</v>
      </c>
      <c r="E2" s="4">
        <v>0</v>
      </c>
      <c r="F2" s="5">
        <v>0.7</v>
      </c>
      <c r="G2" s="5">
        <v>0</v>
      </c>
      <c r="H2" s="6">
        <v>-0.09</v>
      </c>
      <c r="I2" s="4">
        <f t="shared" ref="I2:I16" si="4">$A2*E$1+$B2*E$2+$C2*E$3+$D2*E$4</f>
        <v>5.4399999999999995</v>
      </c>
      <c r="J2" s="5">
        <f t="shared" ref="J2:J16" si="5">$A2*F$1+$B2*F$2+$C2*F$3+$D2*F$4</f>
        <v>0</v>
      </c>
      <c r="K2" s="5">
        <f t="shared" ref="K2:K16" si="6">$A2*G$1+$B2*G$2+$C2*G$3+$D2*G$4</f>
        <v>0</v>
      </c>
      <c r="L2" s="6">
        <f t="shared" ref="L2:L16" si="7">$A2*H$1+$B2*H$2+$C2*H$3+$D2*H$4</f>
        <v>0.96</v>
      </c>
      <c r="M2" s="14">
        <f t="shared" ref="M2:M16" si="8">I2/$L2</f>
        <v>5.6666666666666661</v>
      </c>
      <c r="N2" s="9">
        <f t="shared" ref="N2:N16" si="9">J2/$L2</f>
        <v>0</v>
      </c>
      <c r="O2" s="7">
        <f t="shared" ref="O2:O16" si="10">K2/$L2</f>
        <v>0</v>
      </c>
      <c r="P2" s="15">
        <f t="shared" ref="P2:P16" si="11">L2/$L2</f>
        <v>1</v>
      </c>
      <c r="Q2" s="4">
        <v>0</v>
      </c>
      <c r="R2" s="5">
        <v>1</v>
      </c>
      <c r="S2" s="5">
        <v>0</v>
      </c>
      <c r="T2" s="6">
        <v>1</v>
      </c>
      <c r="U2" s="4">
        <f t="shared" ref="U2:U4" si="12">$Q2*E$1+$R2*E$2+$S2*E$3+$T2*E$4</f>
        <v>0</v>
      </c>
      <c r="V2" s="5">
        <f t="shared" ref="V2:V4" si="13">$Q2*F$1+$R2*F$2+$S2*F$3+$T2*F$4</f>
        <v>0.7</v>
      </c>
      <c r="W2" s="5">
        <f t="shared" ref="W2:W4" si="14">$Q2*G$1+$R2*G$2+$S2*G$3+$T2*G$4</f>
        <v>0</v>
      </c>
      <c r="X2" s="6">
        <f>$Q2*H$1+$R2*H$2+$S2*H$3+$T2*H$4</f>
        <v>0.91</v>
      </c>
      <c r="Y2" s="21">
        <f t="shared" ref="Y2:Y4" si="15">U2/$X2</f>
        <v>0</v>
      </c>
      <c r="Z2" s="22">
        <f t="shared" ref="Z2:Z4" si="16">V2/$X2</f>
        <v>0.76923076923076916</v>
      </c>
      <c r="AA2" s="22">
        <f t="shared" ref="AA2:AA4" si="17">W2/$X2</f>
        <v>0</v>
      </c>
      <c r="AB2" s="23">
        <f t="shared" ref="AB2:AB4" si="18">X2/$X2</f>
        <v>1</v>
      </c>
      <c r="AC2" s="8">
        <f t="shared" ref="AC2:AC3" si="19">SQRT(POWER(Y2,2)+POWER(Z2,2))</f>
        <v>0.76923076923076916</v>
      </c>
    </row>
    <row r="3" spans="1:29" x14ac:dyDescent="0.25">
      <c r="A3" s="4">
        <v>4</v>
      </c>
      <c r="B3" s="5">
        <v>0</v>
      </c>
      <c r="C3" s="5">
        <v>0</v>
      </c>
      <c r="D3" s="6">
        <v>1</v>
      </c>
      <c r="E3" s="4">
        <v>0.5</v>
      </c>
      <c r="F3" s="5">
        <v>-0.7</v>
      </c>
      <c r="G3" s="5">
        <v>0</v>
      </c>
      <c r="H3" s="6">
        <v>-0.08</v>
      </c>
      <c r="I3" s="4">
        <f t="shared" si="4"/>
        <v>3.44</v>
      </c>
      <c r="J3" s="5">
        <f t="shared" si="5"/>
        <v>2.8</v>
      </c>
      <c r="K3" s="5">
        <f t="shared" si="6"/>
        <v>0</v>
      </c>
      <c r="L3" s="6">
        <f t="shared" si="7"/>
        <v>1.28</v>
      </c>
      <c r="M3" s="14">
        <f t="shared" si="8"/>
        <v>2.6875</v>
      </c>
      <c r="N3" s="9">
        <f t="shared" si="9"/>
        <v>2.1875</v>
      </c>
      <c r="O3" s="7">
        <f t="shared" si="10"/>
        <v>0</v>
      </c>
      <c r="P3" s="15">
        <f t="shared" si="11"/>
        <v>1</v>
      </c>
      <c r="Q3" s="4">
        <v>0</v>
      </c>
      <c r="R3" s="5">
        <v>0</v>
      </c>
      <c r="S3" s="5">
        <v>1</v>
      </c>
      <c r="T3" s="6">
        <v>1</v>
      </c>
      <c r="U3" s="4">
        <f t="shared" si="12"/>
        <v>0.5</v>
      </c>
      <c r="V3" s="5">
        <f t="shared" si="13"/>
        <v>-0.7</v>
      </c>
      <c r="W3" s="5">
        <f t="shared" si="14"/>
        <v>0</v>
      </c>
      <c r="X3" s="6">
        <f t="shared" ref="X2:X4" si="20">$Q3*H$1+$R3*H$2+$S3*H$3+$T3*H$4</f>
        <v>0.92</v>
      </c>
      <c r="Y3" s="21">
        <f t="shared" si="15"/>
        <v>0.54347826086956519</v>
      </c>
      <c r="Z3" s="22">
        <f t="shared" si="16"/>
        <v>-0.76086956521739124</v>
      </c>
      <c r="AA3" s="22">
        <f t="shared" si="17"/>
        <v>0</v>
      </c>
      <c r="AB3" s="23">
        <f t="shared" si="18"/>
        <v>1</v>
      </c>
      <c r="AC3" s="8">
        <f t="shared" si="19"/>
        <v>0.93503535511332891</v>
      </c>
    </row>
    <row r="4" spans="1:29" x14ac:dyDescent="0.25">
      <c r="A4" s="4">
        <v>0</v>
      </c>
      <c r="B4" s="5">
        <v>0</v>
      </c>
      <c r="C4" s="5">
        <v>0</v>
      </c>
      <c r="D4" s="6">
        <v>1</v>
      </c>
      <c r="E4" s="4">
        <v>0</v>
      </c>
      <c r="F4" s="5">
        <v>0</v>
      </c>
      <c r="G4" s="5">
        <v>0</v>
      </c>
      <c r="H4" s="6">
        <v>1</v>
      </c>
      <c r="I4" s="4">
        <f t="shared" si="4"/>
        <v>0</v>
      </c>
      <c r="J4" s="5">
        <f t="shared" si="5"/>
        <v>0</v>
      </c>
      <c r="K4" s="5">
        <f t="shared" si="6"/>
        <v>0</v>
      </c>
      <c r="L4" s="6">
        <f t="shared" si="7"/>
        <v>1</v>
      </c>
      <c r="M4" s="14">
        <f t="shared" si="8"/>
        <v>0</v>
      </c>
      <c r="N4" s="9">
        <f t="shared" si="9"/>
        <v>0</v>
      </c>
      <c r="O4" s="7">
        <f t="shared" si="10"/>
        <v>0</v>
      </c>
      <c r="P4" s="15">
        <f t="shared" si="11"/>
        <v>1</v>
      </c>
      <c r="Q4" s="4">
        <v>0</v>
      </c>
      <c r="R4" s="5">
        <v>0</v>
      </c>
      <c r="S4" s="5">
        <v>0</v>
      </c>
      <c r="T4" s="6">
        <v>1</v>
      </c>
      <c r="U4" s="4">
        <f t="shared" si="12"/>
        <v>0</v>
      </c>
      <c r="V4" s="5">
        <f t="shared" si="13"/>
        <v>0</v>
      </c>
      <c r="W4" s="5">
        <f t="shared" si="14"/>
        <v>0</v>
      </c>
      <c r="X4" s="6">
        <f t="shared" si="20"/>
        <v>1</v>
      </c>
      <c r="Y4" s="21">
        <f t="shared" si="15"/>
        <v>0</v>
      </c>
      <c r="Z4" s="22">
        <f t="shared" si="16"/>
        <v>0</v>
      </c>
      <c r="AA4" s="22">
        <f t="shared" si="17"/>
        <v>0</v>
      </c>
      <c r="AB4" s="23">
        <f t="shared" si="18"/>
        <v>1</v>
      </c>
    </row>
    <row r="5" spans="1:29" x14ac:dyDescent="0.25">
      <c r="A5" s="4">
        <v>0</v>
      </c>
      <c r="B5" s="5">
        <v>4</v>
      </c>
      <c r="C5" s="5">
        <v>4</v>
      </c>
      <c r="D5" s="6">
        <v>1</v>
      </c>
      <c r="I5" s="4">
        <f t="shared" si="4"/>
        <v>2</v>
      </c>
      <c r="J5" s="5">
        <f t="shared" si="5"/>
        <v>0</v>
      </c>
      <c r="K5" s="5">
        <f t="shared" si="6"/>
        <v>0</v>
      </c>
      <c r="L5" s="6">
        <f t="shared" si="7"/>
        <v>0.32000000000000006</v>
      </c>
      <c r="M5" s="14">
        <f t="shared" si="8"/>
        <v>6.2499999999999991</v>
      </c>
      <c r="N5" s="9">
        <f t="shared" si="9"/>
        <v>0</v>
      </c>
      <c r="O5" s="7">
        <f t="shared" si="10"/>
        <v>0</v>
      </c>
      <c r="P5" s="15">
        <f t="shared" si="11"/>
        <v>1</v>
      </c>
    </row>
    <row r="6" spans="1:29" x14ac:dyDescent="0.25">
      <c r="A6" s="4">
        <v>4</v>
      </c>
      <c r="B6" s="5">
        <v>4</v>
      </c>
      <c r="C6" s="5">
        <v>4</v>
      </c>
      <c r="D6" s="6">
        <v>1</v>
      </c>
      <c r="I6" s="4">
        <f t="shared" si="4"/>
        <v>5.4399999999999995</v>
      </c>
      <c r="J6" s="5">
        <f t="shared" si="5"/>
        <v>2.8</v>
      </c>
      <c r="K6" s="5">
        <f t="shared" si="6"/>
        <v>0</v>
      </c>
      <c r="L6" s="6">
        <f t="shared" si="7"/>
        <v>0.60000000000000009</v>
      </c>
      <c r="M6" s="14">
        <f t="shared" si="8"/>
        <v>9.0666666666666647</v>
      </c>
      <c r="N6" s="9">
        <f t="shared" si="9"/>
        <v>4.6666666666666661</v>
      </c>
      <c r="O6" s="7">
        <f t="shared" si="10"/>
        <v>0</v>
      </c>
      <c r="P6" s="15">
        <f t="shared" si="11"/>
        <v>1</v>
      </c>
    </row>
    <row r="7" spans="1:29" x14ac:dyDescent="0.25">
      <c r="A7" s="4">
        <v>4</v>
      </c>
      <c r="B7" s="5">
        <v>4</v>
      </c>
      <c r="C7" s="5">
        <v>0</v>
      </c>
      <c r="D7" s="6">
        <v>1</v>
      </c>
      <c r="I7" s="4">
        <f t="shared" si="4"/>
        <v>3.44</v>
      </c>
      <c r="J7" s="5">
        <f t="shared" si="5"/>
        <v>5.6</v>
      </c>
      <c r="K7" s="5">
        <f t="shared" si="6"/>
        <v>0</v>
      </c>
      <c r="L7" s="6">
        <f t="shared" si="7"/>
        <v>0.92</v>
      </c>
      <c r="M7" s="14">
        <f t="shared" si="8"/>
        <v>3.7391304347826084</v>
      </c>
      <c r="N7" s="9">
        <f t="shared" si="9"/>
        <v>6.0869565217391299</v>
      </c>
      <c r="O7" s="7">
        <f t="shared" si="10"/>
        <v>0</v>
      </c>
      <c r="P7" s="15">
        <f t="shared" si="11"/>
        <v>1</v>
      </c>
    </row>
    <row r="8" spans="1:29" x14ac:dyDescent="0.25">
      <c r="A8" s="4">
        <v>0</v>
      </c>
      <c r="B8" s="5">
        <v>4</v>
      </c>
      <c r="C8" s="5">
        <v>0</v>
      </c>
      <c r="D8" s="6">
        <v>1</v>
      </c>
      <c r="I8" s="4">
        <f t="shared" si="4"/>
        <v>0</v>
      </c>
      <c r="J8" s="5">
        <f t="shared" si="5"/>
        <v>2.8</v>
      </c>
      <c r="K8" s="5">
        <f t="shared" si="6"/>
        <v>0</v>
      </c>
      <c r="L8" s="6">
        <f t="shared" si="7"/>
        <v>0.64</v>
      </c>
      <c r="M8" s="14">
        <f t="shared" si="8"/>
        <v>0</v>
      </c>
      <c r="N8" s="9">
        <f t="shared" si="9"/>
        <v>4.375</v>
      </c>
      <c r="O8" s="7">
        <f t="shared" si="10"/>
        <v>0</v>
      </c>
      <c r="P8" s="15">
        <f t="shared" si="11"/>
        <v>1</v>
      </c>
    </row>
    <row r="9" spans="1:29" x14ac:dyDescent="0.25">
      <c r="A9" s="4">
        <v>4</v>
      </c>
      <c r="B9" s="5">
        <v>3</v>
      </c>
      <c r="C9" s="5">
        <v>3</v>
      </c>
      <c r="D9" s="6">
        <v>1</v>
      </c>
      <c r="I9" s="4">
        <f t="shared" si="4"/>
        <v>4.9399999999999995</v>
      </c>
      <c r="J9" s="5">
        <f t="shared" si="5"/>
        <v>2.8</v>
      </c>
      <c r="K9" s="5">
        <f t="shared" si="6"/>
        <v>0</v>
      </c>
      <c r="L9" s="6">
        <f t="shared" si="7"/>
        <v>0.77</v>
      </c>
      <c r="M9" s="14">
        <f t="shared" si="8"/>
        <v>6.4155844155844148</v>
      </c>
      <c r="N9" s="9">
        <f t="shared" si="9"/>
        <v>3.6363636363636362</v>
      </c>
      <c r="O9" s="7">
        <f t="shared" si="10"/>
        <v>0</v>
      </c>
      <c r="P9" s="15">
        <f t="shared" si="11"/>
        <v>1</v>
      </c>
    </row>
    <row r="10" spans="1:29" x14ac:dyDescent="0.25">
      <c r="A10" s="4">
        <v>4</v>
      </c>
      <c r="B10" s="5">
        <v>3</v>
      </c>
      <c r="C10" s="5">
        <v>2</v>
      </c>
      <c r="D10" s="6">
        <v>1</v>
      </c>
      <c r="I10" s="4">
        <f t="shared" si="4"/>
        <v>4.4399999999999995</v>
      </c>
      <c r="J10" s="5">
        <f t="shared" si="5"/>
        <v>3.4999999999999996</v>
      </c>
      <c r="K10" s="5">
        <f t="shared" si="6"/>
        <v>0</v>
      </c>
      <c r="L10" s="6">
        <f t="shared" si="7"/>
        <v>0.85</v>
      </c>
      <c r="M10" s="14">
        <f t="shared" si="8"/>
        <v>5.2235294117647051</v>
      </c>
      <c r="N10" s="9">
        <f t="shared" si="9"/>
        <v>4.117647058823529</v>
      </c>
      <c r="O10" s="7">
        <f t="shared" si="10"/>
        <v>0</v>
      </c>
      <c r="P10" s="15">
        <f t="shared" si="11"/>
        <v>1</v>
      </c>
    </row>
    <row r="11" spans="1:29" x14ac:dyDescent="0.25">
      <c r="A11" s="4">
        <v>4</v>
      </c>
      <c r="B11" s="5">
        <v>2</v>
      </c>
      <c r="C11" s="5">
        <v>2</v>
      </c>
      <c r="D11" s="6">
        <v>1</v>
      </c>
      <c r="I11" s="4">
        <f t="shared" si="4"/>
        <v>4.4399999999999995</v>
      </c>
      <c r="J11" s="5">
        <f t="shared" si="5"/>
        <v>2.7999999999999994</v>
      </c>
      <c r="K11" s="5">
        <f t="shared" si="6"/>
        <v>0</v>
      </c>
      <c r="L11" s="6">
        <f t="shared" si="7"/>
        <v>0.94000000000000006</v>
      </c>
      <c r="M11" s="14">
        <f t="shared" si="8"/>
        <v>4.7234042553191484</v>
      </c>
      <c r="N11" s="9">
        <f>J11/$L11</f>
        <v>2.9787234042553181</v>
      </c>
      <c r="O11" s="7">
        <f t="shared" si="10"/>
        <v>0</v>
      </c>
      <c r="P11" s="15">
        <f t="shared" si="11"/>
        <v>1</v>
      </c>
    </row>
    <row r="12" spans="1:29" x14ac:dyDescent="0.25">
      <c r="A12" s="4">
        <v>4</v>
      </c>
      <c r="B12" s="5">
        <v>2</v>
      </c>
      <c r="C12" s="5">
        <v>3</v>
      </c>
      <c r="D12" s="6">
        <v>1</v>
      </c>
      <c r="I12" s="4">
        <f t="shared" si="4"/>
        <v>4.9399999999999995</v>
      </c>
      <c r="J12" s="5">
        <f t="shared" si="5"/>
        <v>2.0999999999999996</v>
      </c>
      <c r="K12" s="5">
        <f t="shared" si="6"/>
        <v>0</v>
      </c>
      <c r="L12" s="6">
        <f t="shared" si="7"/>
        <v>0.8600000000000001</v>
      </c>
      <c r="M12" s="14">
        <f t="shared" si="8"/>
        <v>5.7441860465116266</v>
      </c>
      <c r="N12" s="9">
        <f t="shared" si="9"/>
        <v>2.4418604651162785</v>
      </c>
      <c r="O12" s="7">
        <f t="shared" si="10"/>
        <v>0</v>
      </c>
      <c r="P12" s="15">
        <f t="shared" si="11"/>
        <v>1</v>
      </c>
    </row>
    <row r="13" spans="1:29" x14ac:dyDescent="0.25">
      <c r="A13" s="4">
        <v>2</v>
      </c>
      <c r="B13" s="5">
        <v>0</v>
      </c>
      <c r="C13" s="5">
        <v>4</v>
      </c>
      <c r="D13" s="6">
        <v>1</v>
      </c>
      <c r="I13" s="4">
        <f t="shared" si="4"/>
        <v>3.7199999999999998</v>
      </c>
      <c r="J13" s="5">
        <f t="shared" si="5"/>
        <v>-1.4</v>
      </c>
      <c r="K13" s="5">
        <f t="shared" si="6"/>
        <v>0</v>
      </c>
      <c r="L13" s="6">
        <f t="shared" si="7"/>
        <v>0.82000000000000006</v>
      </c>
      <c r="M13" s="14">
        <f t="shared" si="8"/>
        <v>4.5365853658536581</v>
      </c>
      <c r="N13" s="9">
        <f t="shared" si="9"/>
        <v>-1.7073170731707314</v>
      </c>
      <c r="O13" s="7">
        <f t="shared" si="10"/>
        <v>0</v>
      </c>
      <c r="P13" s="15">
        <f t="shared" si="11"/>
        <v>1</v>
      </c>
    </row>
    <row r="14" spans="1:29" x14ac:dyDescent="0.25">
      <c r="A14" s="4">
        <v>3</v>
      </c>
      <c r="B14" s="5">
        <v>0</v>
      </c>
      <c r="C14" s="5">
        <v>4</v>
      </c>
      <c r="D14" s="6">
        <v>1</v>
      </c>
      <c r="I14" s="4">
        <f t="shared" si="4"/>
        <v>4.58</v>
      </c>
      <c r="J14" s="5">
        <f t="shared" si="5"/>
        <v>-0.70000000000000018</v>
      </c>
      <c r="K14" s="5">
        <f t="shared" si="6"/>
        <v>0</v>
      </c>
      <c r="L14" s="6">
        <f t="shared" si="7"/>
        <v>0.89</v>
      </c>
      <c r="M14" s="14">
        <f t="shared" si="8"/>
        <v>5.1460674157303368</v>
      </c>
      <c r="N14" s="9">
        <f t="shared" si="9"/>
        <v>-0.78651685393258441</v>
      </c>
      <c r="O14" s="7">
        <f t="shared" si="10"/>
        <v>0</v>
      </c>
      <c r="P14" s="15">
        <f t="shared" si="11"/>
        <v>1</v>
      </c>
    </row>
    <row r="15" spans="1:29" x14ac:dyDescent="0.25">
      <c r="A15" s="4">
        <v>3</v>
      </c>
      <c r="B15" s="5">
        <v>2</v>
      </c>
      <c r="C15" s="5">
        <v>4</v>
      </c>
      <c r="D15" s="6">
        <v>1</v>
      </c>
      <c r="I15" s="4">
        <f t="shared" si="4"/>
        <v>4.58</v>
      </c>
      <c r="J15" s="5">
        <f t="shared" si="5"/>
        <v>0.69999999999999973</v>
      </c>
      <c r="K15" s="5">
        <f t="shared" si="6"/>
        <v>0</v>
      </c>
      <c r="L15" s="6">
        <f t="shared" si="7"/>
        <v>0.71</v>
      </c>
      <c r="M15" s="14">
        <f t="shared" si="8"/>
        <v>6.450704225352113</v>
      </c>
      <c r="N15" s="9">
        <f t="shared" si="9"/>
        <v>0.98591549295774616</v>
      </c>
      <c r="O15" s="7">
        <f t="shared" si="10"/>
        <v>0</v>
      </c>
      <c r="P15" s="15">
        <f t="shared" si="11"/>
        <v>1</v>
      </c>
    </row>
    <row r="16" spans="1:29" x14ac:dyDescent="0.25">
      <c r="A16" s="4">
        <v>2</v>
      </c>
      <c r="B16" s="5">
        <v>2</v>
      </c>
      <c r="C16" s="5">
        <v>4</v>
      </c>
      <c r="D16" s="6">
        <v>1</v>
      </c>
      <c r="I16" s="4">
        <f t="shared" si="4"/>
        <v>3.7199999999999998</v>
      </c>
      <c r="J16" s="5">
        <f t="shared" si="5"/>
        <v>0</v>
      </c>
      <c r="K16" s="5">
        <f t="shared" si="6"/>
        <v>0</v>
      </c>
      <c r="L16" s="6">
        <f t="shared" si="7"/>
        <v>0.64</v>
      </c>
      <c r="M16" s="14">
        <f t="shared" si="8"/>
        <v>5.8124999999999991</v>
      </c>
      <c r="N16" s="9">
        <f t="shared" si="9"/>
        <v>0</v>
      </c>
      <c r="O16" s="7">
        <f t="shared" si="10"/>
        <v>0</v>
      </c>
      <c r="P16" s="15">
        <f t="shared" si="1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kostyan</dc:creator>
  <cp:lastModifiedBy>kostyan</cp:lastModifiedBy>
  <dcterms:created xsi:type="dcterms:W3CDTF">2026-09-30T15:33:48Z</dcterms:created>
  <dcterms:modified xsi:type="dcterms:W3CDTF">2026-10-02T08:53:34Z</dcterms:modified>
</cp:coreProperties>
</file>